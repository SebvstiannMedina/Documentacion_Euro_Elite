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Daily Scrum Minutes" sheetId="1" r:id="rId4"/>
  </sheets>
  <definedNames/>
  <calcPr/>
  <extLst>
    <ext uri="GoogleSheetsCustomDataVersion2">
      <go:sheetsCustomData xmlns:go="http://customooxmlschemas.google.com/" r:id="rId5" roundtripDataChecksum="yVDjNNsEvWw/JhzK0jZxl+c3aSDBx8SET/C2kUyYTUM="/>
    </ext>
  </extLst>
</workbook>
</file>

<file path=xl/sharedStrings.xml><?xml version="1.0" encoding="utf-8"?>
<sst xmlns="http://schemas.openxmlformats.org/spreadsheetml/2006/main" count="215" uniqueCount="150">
  <si>
    <t>DAILY SCRUM MEETING - SPRINT 5</t>
  </si>
  <si>
    <t>Nombre</t>
  </si>
  <si>
    <t>Pregunta</t>
  </si>
  <si>
    <t>Lunes</t>
  </si>
  <si>
    <t>Martes</t>
  </si>
  <si>
    <t>Miercoles</t>
  </si>
  <si>
    <t>Jueves</t>
  </si>
  <si>
    <t>Viernes</t>
  </si>
  <si>
    <t>Sabado</t>
  </si>
  <si>
    <t>Domingo</t>
  </si>
  <si>
    <t>-</t>
  </si>
  <si>
    <t>Luis Troncoso</t>
  </si>
  <si>
    <t>¿En qué trabajaste ayer?</t>
  </si>
  <si>
    <t>Cierre formal del Sprint 4 y retrospectiva.</t>
  </si>
  <si>
    <t>Revisión de tareas críticas.</t>
  </si>
  <si>
    <t>Supervisión de documentación.</t>
  </si>
  <si>
    <t>Reunión de status.</t>
  </si>
  <si>
    <t>Resolución de obstáculos.</t>
  </si>
  <si>
    <t>descanso/ revision de avances</t>
  </si>
  <si>
    <t>Seguimiento general.</t>
  </si>
  <si>
    <t>Checklist inicial.</t>
  </si>
  <si>
    <t>Coordinación pruebas finales.</t>
  </si>
  <si>
    <t>Revisión completa con equipo.</t>
  </si>
  <si>
    <t>Demo interna agendada.</t>
  </si>
  <si>
    <t>Práctica de presentación.</t>
  </si>
  <si>
    <t>Revisión completa del proyecto.</t>
  </si>
  <si>
    <t>¿En qué estás trabajando hoy?</t>
  </si>
  <si>
    <t>Iniciar Sprint 5, organizar documentación y tareas finales.</t>
  </si>
  <si>
    <t>Supervisar documentación de manuales.</t>
  </si>
  <si>
    <t>Preparar reunión de revisión con todo el equipo.</t>
  </si>
  <si>
    <t>Facilitar resolución de impedimentos.</t>
  </si>
  <si>
    <t>Revisión del avance total del sprint.</t>
  </si>
  <si>
    <t>Preparar checklist de entrega final.</t>
  </si>
  <si>
    <t>Coordinar pruebas finales con cliente.</t>
  </si>
  <si>
    <t>Revisar estado del proyecto con equipo.</t>
  </si>
  <si>
    <t>Organizar demo final interna.</t>
  </si>
  <si>
    <t>Practicar discurso de presentación final.</t>
  </si>
  <si>
    <t>Revisar documentación final del equipo.</t>
  </si>
  <si>
    <t>Realizar retrospectiva y cierre formal del proyecto.</t>
  </si>
  <si>
    <t>¿que impedimentos tienen?</t>
  </si>
  <si>
    <t>Aún no se confirma fecha de reunión final con cliente.</t>
  </si>
  <si>
    <t>Ninguno.</t>
  </si>
  <si>
    <t>Cambios de disponibilidad del cliente.</t>
  </si>
  <si>
    <t>Sebastian Medina</t>
  </si>
  <si>
    <t>Validación completa del Sprint 4.</t>
  </si>
  <si>
    <t>Priorización de correcciones.</t>
  </si>
  <si>
    <t>Documentación funcional avanzada.</t>
  </si>
  <si>
    <t>Ajuste del flujo de compra.</t>
  </si>
  <si>
    <t>Corrección de contenido final.</t>
  </si>
  <si>
    <t>Validación de criterios.</t>
  </si>
  <si>
    <t>Revisión visual.</t>
  </si>
  <si>
    <t>Documentación final.</t>
  </si>
  <si>
    <t>Revisión manual.</t>
  </si>
  <si>
    <t>Documentación de despliegue.</t>
  </si>
  <si>
    <t>Demo con cliente.</t>
  </si>
  <si>
    <t>Correcciones finales.</t>
  </si>
  <si>
    <t>Revisar entregables finales y definir prioridad de correcciones.</t>
  </si>
  <si>
    <t>Completar documentación funcional del sistema.</t>
  </si>
  <si>
    <t>Ajustar documentación del flujo de compra.</t>
  </si>
  <si>
    <t>Revisar contenidos finales y mejorar redacción.</t>
  </si>
  <si>
    <t>Validar criterios de aceptación finales.</t>
  </si>
  <si>
    <t>Aceptar pequeñas mejoras visuales.</t>
  </si>
  <si>
    <t>Ajustar documentación final del sistema.</t>
  </si>
  <si>
    <t>Revisar manual de usuario.</t>
  </si>
  <si>
    <t>Completar documentación de despliegue.</t>
  </si>
  <si>
    <t>Validar demo final con cliente.</t>
  </si>
  <si>
    <t>Aplicar correcciones solicitadas.</t>
  </si>
  <si>
    <t>Aceptar entregables y coordinar entrega final del proyecto.</t>
  </si>
  <si>
    <t>Cliente no valida textos finales aún.</t>
  </si>
  <si>
    <t>Cliente demora en aprobar flujos finales.</t>
  </si>
  <si>
    <t>Falta confirmación del cliente en un paso específico.</t>
  </si>
  <si>
    <t>Cliente pide cambios de último minuto.</t>
  </si>
  <si>
    <t>Cliente no responde a tiempo.</t>
  </si>
  <si>
    <t>Cambios del cliente atrasan revisión.</t>
  </si>
  <si>
    <t>Cliente solicita agregar capturas nuevas.</t>
  </si>
  <si>
    <t>Faltan capturas actualizadas.</t>
  </si>
  <si>
    <t>Falta información del hosting.</t>
  </si>
  <si>
    <t>Cliente se retrasa en conectarse.</t>
  </si>
  <si>
    <t>Cliente quiere nuevas capturas.</t>
  </si>
  <si>
    <t>Hector Domingo</t>
  </si>
  <si>
    <t>Ajustes visuales finales del Sprint 4.</t>
  </si>
  <si>
    <t>Revisión del diseño general.</t>
  </si>
  <si>
    <t>Pruebas UX.</t>
  </si>
  <si>
    <t>Mejora móvil.</t>
  </si>
  <si>
    <t>Optimización de elementos visuales.</t>
  </si>
  <si>
    <t>Pruebas en navegadores.</t>
  </si>
  <si>
    <t>UI mejorada.</t>
  </si>
  <si>
    <t>Accesibilidad.</t>
  </si>
  <si>
    <t>Ajustes tipográficos.</t>
  </si>
  <si>
    <t>Ajustes UI.</t>
  </si>
  <si>
    <t>Pruebas finalizadas.</t>
  </si>
  <si>
    <t>Ajustes visuales finales.</t>
  </si>
  <si>
    <t>Revisar diseño completo y detectar mejoras</t>
  </si>
  <si>
    <t>Ajustes de estilos y pruebas UX.</t>
  </si>
  <si>
    <t>Mejorar experiencia móvil.</t>
  </si>
  <si>
    <t>Corregir responsividad y cargar imágenes optimizadas.</t>
  </si>
  <si>
    <t>Pruebas finales en navegadores.</t>
  </si>
  <si>
    <t>Implementar mejoras UI recomendadas por el PO.</t>
  </si>
  <si>
    <t>Implementar mejoras de accesibilidad.</t>
  </si>
  <si>
    <t>Ajustar tipografías y estructura visual final.</t>
  </si>
  <si>
    <t>Pulir botones, formularios y layout final.</t>
  </si>
  <si>
    <t>Realizar pruebas completas del front.</t>
  </si>
  <si>
    <t>Reparar bugs visuales reportados.</t>
  </si>
  <si>
    <t>Entregar front final 100% corregido.</t>
  </si>
  <si>
    <t>Diferencias visuales entre Chrome y Edge.</t>
  </si>
  <si>
    <t>Animaciones afectan rendimiento.</t>
  </si>
  <si>
    <t>Menú hamburguesa falla en algunos dispositivos.</t>
  </si>
  <si>
    <t>Imágenes muy pesadas.</t>
  </si>
  <si>
    <t>Safari presenta fallos inesperados.</t>
  </si>
  <si>
    <t>Inconsistencias visuales después de cambios.</t>
  </si>
  <si>
    <t>Algunos componentes no son compatibles con lectores de pantalla.</t>
  </si>
  <si>
    <t>Tipografías externas tardan en cargar.</t>
  </si>
  <si>
    <t>Bug visual aparece al cambiar idioma.</t>
  </si>
  <si>
    <t>Bugs menores pendientes.</t>
  </si>
  <si>
    <t>Cambios afectan estilos globales.</t>
  </si>
  <si>
    <t>Jehison Arancibia</t>
  </si>
  <si>
    <t>Backend probado y estable.</t>
  </si>
  <si>
    <t>Avance en preparación de servidor.</t>
  </si>
  <si>
    <t>Pruebas de carga.</t>
  </si>
  <si>
    <t>Optimización de seguridad.</t>
  </si>
  <si>
    <t>Ajustes API producción.</t>
  </si>
  <si>
    <t>Pruebas servidor.</t>
  </si>
  <si>
    <t>Migración BD.</t>
  </si>
  <si>
    <t>Seguridad en servidor.</t>
  </si>
  <si>
    <t>Ajustes rendimiento.</t>
  </si>
  <si>
    <t>Seguridad revisada.</t>
  </si>
  <si>
    <t>Ajustes finales del backend.</t>
  </si>
  <si>
    <t>Preparar ambiente de producción y optimizar endpoints.</t>
  </si>
  <si>
    <t>Realizar pruebas de carga.</t>
  </si>
  <si>
    <t>Optimizar consultas SQL y seguridad.</t>
  </si>
  <si>
    <t>Ajustar API para producción.</t>
  </si>
  <si>
    <t>Pruebas del servidor en entorno real.</t>
  </si>
  <si>
    <t>Migrar base de datos final a producción.</t>
  </si>
  <si>
    <t>Ajustar permisos y seguridad en servidor.</t>
  </si>
  <si>
    <t>Pruebas API con tráfico simulado.</t>
  </si>
  <si>
    <t>Implementar ajustes finales de rendimiento.</t>
  </si>
  <si>
    <t>Revisar seguridad y estabilidad total.</t>
  </si>
  <si>
    <t>Reparar endpoint lento.</t>
  </si>
  <si>
    <t>Entregar backend final en producción.</t>
  </si>
  <si>
    <t>Falta configuración final del servidor.</t>
  </si>
  <si>
    <t>Base de datos no está completamente optimizada.</t>
  </si>
  <si>
    <t>Endpoint lento bajo alto tráfico.</t>
  </si>
  <si>
    <t>Configuración SSL pendiente.</t>
  </si>
  <si>
    <t>Latencia alta en algunos endpoints.</t>
  </si>
  <si>
    <t>Un campo no migra correctamente.</t>
  </si>
  <si>
    <t>Conflictos entre roles de usuario.</t>
  </si>
  <si>
    <t>Endpoint se cae bajo estrés alto.</t>
  </si>
  <si>
    <t>Una librería está desactualizada.</t>
  </si>
  <si>
    <t>Endpoint de login responde lento.</t>
  </si>
  <si>
    <t>Consultas SQL duplicadas.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</si>
</sst>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4">
    <font>
      <sz val="11.0"/>
      <color theme="1"/>
      <name val="Calibri"/>
      <scheme val="minor"/>
    </font>
    <font>
      <b/>
      <sz val="22.0"/>
      <color rgb="FF595959"/>
      <name val="Century Gothic"/>
    </font>
    <font>
      <i/>
      <sz val="10.0"/>
      <color rgb="FF2E75B5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4.0"/>
      <color rgb="FF2E75B5"/>
      <name val="Century Gothic"/>
    </font>
    <font/>
    <font>
      <sz val="12.0"/>
      <color rgb="FF2E75B5"/>
      <name val="Century Gothic"/>
    </font>
    <font>
      <sz val="11.0"/>
      <color rgb="FF000000"/>
      <name val="Century Gothic"/>
    </font>
    <font>
      <sz val="10.0"/>
      <color rgb="FF000000"/>
      <name val="Century Gothic"/>
    </font>
    <font>
      <sz val="8.0"/>
      <color rgb="FF000000"/>
      <name val="Century Gothic"/>
    </font>
    <font>
      <sz val="8.0"/>
      <color theme="1"/>
      <name val="Century Gothic"/>
    </font>
    <font>
      <sz val="11.0"/>
      <color theme="1"/>
      <name val="Century Gothic"/>
    </font>
    <font>
      <sz val="10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ck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3" fontId="7" numFmtId="0" xfId="0" applyAlignment="1" applyBorder="1" applyFont="1">
      <alignment horizontal="center" vertical="center"/>
    </xf>
    <xf borderId="4" fillId="3" fontId="7" numFmtId="164" xfId="0" applyAlignment="1" applyBorder="1" applyFont="1" applyNumberFormat="1">
      <alignment horizontal="center" readingOrder="0" vertical="center"/>
    </xf>
    <xf borderId="4" fillId="3" fontId="7" numFmtId="164" xfId="0" applyAlignment="1" applyBorder="1" applyFont="1" applyNumberFormat="1">
      <alignment horizontal="center" vertical="center"/>
    </xf>
    <xf borderId="5" fillId="4" fontId="8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left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6" fillId="4" fontId="11" numFmtId="0" xfId="0" applyAlignment="1" applyBorder="1" applyFont="1">
      <alignment horizontal="left" readingOrder="0" shrinkToFit="0" vertical="center" wrapText="1"/>
    </xf>
    <xf borderId="2" fillId="4" fontId="11" numFmtId="0" xfId="0" applyAlignment="1" applyBorder="1" applyFont="1">
      <alignment horizontal="left" readingOrder="0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2" fillId="4" fontId="10" numFmtId="0" xfId="0" applyAlignment="1" applyBorder="1" applyFont="1">
      <alignment horizontal="left" readingOrder="0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6" fillId="5" fontId="8" numFmtId="0" xfId="0" applyAlignment="1" applyBorder="1" applyFont="1">
      <alignment horizontal="left" shrinkToFit="0" vertical="center" wrapText="1"/>
    </xf>
    <xf borderId="6" fillId="5" fontId="10" numFmtId="0" xfId="0" applyAlignment="1" applyBorder="1" applyFont="1">
      <alignment horizontal="left" readingOrder="0" shrinkToFit="0" vertical="center" wrapText="1"/>
    </xf>
    <xf borderId="6" fillId="5" fontId="11" numFmtId="0" xfId="0" applyAlignment="1" applyBorder="1" applyFont="1">
      <alignment horizontal="left" readingOrder="0" shrinkToFit="0" vertical="center" wrapText="1"/>
    </xf>
    <xf borderId="2" fillId="5" fontId="11" numFmtId="0" xfId="0" applyAlignment="1" applyBorder="1" applyFont="1">
      <alignment horizontal="left" readingOrder="0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left" readingOrder="0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2" fillId="4" fontId="11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8" fillId="6" fontId="13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7.43"/>
    <col customWidth="1" min="3" max="3" width="37.29"/>
    <col customWidth="1" min="4" max="18" width="17.57"/>
    <col customWidth="1" min="19" max="24" width="8.86"/>
  </cols>
  <sheetData>
    <row r="1" ht="49.5" customHeight="1">
      <c r="B1" s="1" t="s">
        <v>0</v>
      </c>
    </row>
    <row r="2" ht="18.0" customHeight="1">
      <c r="B2" s="2"/>
      <c r="D2" s="3"/>
    </row>
    <row r="3" ht="21.75" customHeight="1">
      <c r="A3" s="4"/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3</v>
      </c>
      <c r="L3" s="6" t="s">
        <v>4</v>
      </c>
      <c r="M3" s="6" t="s">
        <v>5</v>
      </c>
      <c r="N3" s="6" t="s">
        <v>6</v>
      </c>
      <c r="O3" s="6" t="s">
        <v>7</v>
      </c>
      <c r="P3" s="6" t="s">
        <v>8</v>
      </c>
      <c r="Q3" s="6" t="s">
        <v>9</v>
      </c>
      <c r="R3" s="6" t="s">
        <v>3</v>
      </c>
      <c r="S3" s="4"/>
      <c r="T3" s="4"/>
      <c r="U3" s="4"/>
      <c r="V3" s="4"/>
      <c r="W3" s="4"/>
      <c r="X3" s="4"/>
    </row>
    <row r="4" ht="21.75" customHeight="1">
      <c r="A4" s="4"/>
      <c r="B4" s="7"/>
      <c r="C4" s="7"/>
      <c r="D4" s="8" t="s">
        <v>10</v>
      </c>
      <c r="E4" s="9">
        <v>45951.0</v>
      </c>
      <c r="F4" s="10">
        <f t="shared" ref="F4:R4" si="1">E4+1</f>
        <v>45952</v>
      </c>
      <c r="G4" s="10">
        <f t="shared" si="1"/>
        <v>45953</v>
      </c>
      <c r="H4" s="10">
        <f t="shared" si="1"/>
        <v>45954</v>
      </c>
      <c r="I4" s="10">
        <f t="shared" si="1"/>
        <v>45955</v>
      </c>
      <c r="J4" s="10">
        <f t="shared" si="1"/>
        <v>45956</v>
      </c>
      <c r="K4" s="10">
        <f t="shared" si="1"/>
        <v>45957</v>
      </c>
      <c r="L4" s="10">
        <f t="shared" si="1"/>
        <v>45958</v>
      </c>
      <c r="M4" s="10">
        <f t="shared" si="1"/>
        <v>45959</v>
      </c>
      <c r="N4" s="10">
        <f t="shared" si="1"/>
        <v>45960</v>
      </c>
      <c r="O4" s="10">
        <f t="shared" si="1"/>
        <v>45961</v>
      </c>
      <c r="P4" s="10">
        <f t="shared" si="1"/>
        <v>45962</v>
      </c>
      <c r="Q4" s="10">
        <f t="shared" si="1"/>
        <v>45963</v>
      </c>
      <c r="R4" s="10">
        <f t="shared" si="1"/>
        <v>45964</v>
      </c>
      <c r="S4" s="4"/>
      <c r="T4" s="4"/>
      <c r="U4" s="4"/>
      <c r="V4" s="4"/>
      <c r="W4" s="4"/>
      <c r="X4" s="4"/>
    </row>
    <row r="5" ht="42.0" customHeight="1">
      <c r="B5" s="11" t="s">
        <v>11</v>
      </c>
      <c r="C5" s="12" t="s">
        <v>12</v>
      </c>
      <c r="D5" s="8" t="s">
        <v>10</v>
      </c>
      <c r="E5" s="13" t="s">
        <v>13</v>
      </c>
      <c r="F5" s="14" t="s">
        <v>14</v>
      </c>
      <c r="G5" s="14" t="s">
        <v>15</v>
      </c>
      <c r="H5" s="14" t="s">
        <v>16</v>
      </c>
      <c r="I5" s="15" t="s">
        <v>17</v>
      </c>
      <c r="J5" s="16" t="s">
        <v>18</v>
      </c>
      <c r="K5" s="14" t="s">
        <v>19</v>
      </c>
      <c r="L5" s="17" t="s">
        <v>20</v>
      </c>
      <c r="M5" s="15" t="s">
        <v>21</v>
      </c>
      <c r="N5" s="15" t="s">
        <v>22</v>
      </c>
      <c r="O5" s="15" t="s">
        <v>23</v>
      </c>
      <c r="P5" s="15" t="s">
        <v>24</v>
      </c>
      <c r="Q5" s="16" t="s">
        <v>18</v>
      </c>
      <c r="R5" s="13" t="s">
        <v>25</v>
      </c>
    </row>
    <row r="6" ht="42.0" customHeight="1">
      <c r="B6" s="7"/>
      <c r="C6" s="18" t="s">
        <v>26</v>
      </c>
      <c r="D6" s="8" t="s">
        <v>10</v>
      </c>
      <c r="E6" s="13" t="s">
        <v>27</v>
      </c>
      <c r="F6" s="15" t="s">
        <v>28</v>
      </c>
      <c r="G6" s="17" t="s">
        <v>29</v>
      </c>
      <c r="H6" s="15" t="s">
        <v>30</v>
      </c>
      <c r="I6" s="15" t="s">
        <v>31</v>
      </c>
      <c r="J6" s="16" t="s">
        <v>18</v>
      </c>
      <c r="K6" s="17" t="s">
        <v>32</v>
      </c>
      <c r="L6" s="15" t="s">
        <v>33</v>
      </c>
      <c r="M6" s="15" t="s">
        <v>34</v>
      </c>
      <c r="N6" s="15" t="s">
        <v>35</v>
      </c>
      <c r="O6" s="15" t="s">
        <v>36</v>
      </c>
      <c r="P6" s="15" t="s">
        <v>37</v>
      </c>
      <c r="Q6" s="16" t="s">
        <v>18</v>
      </c>
      <c r="R6" s="15" t="s">
        <v>38</v>
      </c>
    </row>
    <row r="7" ht="42.0" customHeight="1">
      <c r="B7" s="7"/>
      <c r="C7" s="18" t="s">
        <v>39</v>
      </c>
      <c r="D7" s="8" t="s">
        <v>10</v>
      </c>
      <c r="E7" s="13" t="s">
        <v>40</v>
      </c>
      <c r="F7" s="15" t="s">
        <v>41</v>
      </c>
      <c r="G7" s="17" t="s">
        <v>42</v>
      </c>
      <c r="H7" s="15" t="s">
        <v>41</v>
      </c>
      <c r="I7" s="17" t="s">
        <v>41</v>
      </c>
      <c r="J7" s="16" t="s">
        <v>18</v>
      </c>
      <c r="K7" s="17" t="s">
        <v>41</v>
      </c>
      <c r="L7" s="15" t="s">
        <v>41</v>
      </c>
      <c r="M7" s="15" t="s">
        <v>41</v>
      </c>
      <c r="N7" s="15" t="s">
        <v>41</v>
      </c>
      <c r="O7" s="15" t="s">
        <v>41</v>
      </c>
      <c r="P7" s="15" t="s">
        <v>41</v>
      </c>
      <c r="Q7" s="16" t="s">
        <v>18</v>
      </c>
      <c r="R7" s="17" t="s">
        <v>41</v>
      </c>
    </row>
    <row r="8" ht="42.0" customHeight="1">
      <c r="B8" s="19" t="s">
        <v>43</v>
      </c>
      <c r="C8" s="20" t="s">
        <v>12</v>
      </c>
      <c r="D8" s="8" t="s">
        <v>10</v>
      </c>
      <c r="E8" s="21" t="s">
        <v>44</v>
      </c>
      <c r="F8" s="22" t="s">
        <v>45</v>
      </c>
      <c r="G8" s="22" t="s">
        <v>46</v>
      </c>
      <c r="H8" s="22" t="s">
        <v>47</v>
      </c>
      <c r="I8" s="23" t="s">
        <v>48</v>
      </c>
      <c r="J8" s="24" t="s">
        <v>18</v>
      </c>
      <c r="K8" s="22" t="s">
        <v>49</v>
      </c>
      <c r="L8" s="25" t="s">
        <v>50</v>
      </c>
      <c r="M8" s="23" t="s">
        <v>51</v>
      </c>
      <c r="N8" s="25" t="s">
        <v>52</v>
      </c>
      <c r="O8" s="23" t="s">
        <v>53</v>
      </c>
      <c r="P8" s="25" t="s">
        <v>54</v>
      </c>
      <c r="Q8" s="24" t="s">
        <v>18</v>
      </c>
      <c r="R8" s="21" t="s">
        <v>55</v>
      </c>
    </row>
    <row r="9" ht="42.0" customHeight="1">
      <c r="B9" s="7"/>
      <c r="C9" s="26" t="s">
        <v>26</v>
      </c>
      <c r="D9" s="8" t="s">
        <v>10</v>
      </c>
      <c r="E9" s="25" t="s">
        <v>56</v>
      </c>
      <c r="F9" s="23" t="s">
        <v>57</v>
      </c>
      <c r="G9" s="25" t="s">
        <v>58</v>
      </c>
      <c r="H9" s="23" t="s">
        <v>59</v>
      </c>
      <c r="I9" s="25" t="s">
        <v>60</v>
      </c>
      <c r="J9" s="27" t="s">
        <v>18</v>
      </c>
      <c r="K9" s="25" t="s">
        <v>61</v>
      </c>
      <c r="L9" s="23" t="s">
        <v>62</v>
      </c>
      <c r="M9" s="25" t="s">
        <v>63</v>
      </c>
      <c r="N9" s="23" t="s">
        <v>64</v>
      </c>
      <c r="O9" s="25" t="s">
        <v>65</v>
      </c>
      <c r="P9" s="23" t="s">
        <v>66</v>
      </c>
      <c r="Q9" s="24" t="s">
        <v>18</v>
      </c>
      <c r="R9" s="25" t="s">
        <v>67</v>
      </c>
    </row>
    <row r="10" ht="42.0" customHeight="1">
      <c r="B10" s="28"/>
      <c r="C10" s="26" t="s">
        <v>39</v>
      </c>
      <c r="D10" s="8" t="s">
        <v>10</v>
      </c>
      <c r="E10" s="25" t="s">
        <v>68</v>
      </c>
      <c r="F10" s="23" t="s">
        <v>69</v>
      </c>
      <c r="G10" s="25" t="s">
        <v>70</v>
      </c>
      <c r="H10" s="23" t="s">
        <v>71</v>
      </c>
      <c r="I10" s="25" t="s">
        <v>72</v>
      </c>
      <c r="J10" s="27" t="s">
        <v>18</v>
      </c>
      <c r="K10" s="25" t="s">
        <v>73</v>
      </c>
      <c r="L10" s="23" t="s">
        <v>74</v>
      </c>
      <c r="M10" s="23" t="s">
        <v>75</v>
      </c>
      <c r="N10" s="23" t="s">
        <v>76</v>
      </c>
      <c r="O10" s="23" t="s">
        <v>77</v>
      </c>
      <c r="P10" s="23" t="s">
        <v>78</v>
      </c>
      <c r="Q10" s="24" t="s">
        <v>18</v>
      </c>
      <c r="R10" s="25" t="s">
        <v>41</v>
      </c>
    </row>
    <row r="11" ht="42.0" customHeight="1">
      <c r="B11" s="11" t="s">
        <v>79</v>
      </c>
      <c r="C11" s="12" t="s">
        <v>12</v>
      </c>
      <c r="D11" s="8" t="s">
        <v>10</v>
      </c>
      <c r="E11" s="13" t="s">
        <v>80</v>
      </c>
      <c r="F11" s="14" t="s">
        <v>81</v>
      </c>
      <c r="G11" s="14" t="s">
        <v>82</v>
      </c>
      <c r="H11" s="14" t="s">
        <v>83</v>
      </c>
      <c r="I11" s="15" t="s">
        <v>84</v>
      </c>
      <c r="J11" s="16" t="s">
        <v>18</v>
      </c>
      <c r="K11" s="14" t="s">
        <v>85</v>
      </c>
      <c r="L11" s="17" t="s">
        <v>86</v>
      </c>
      <c r="M11" s="15" t="s">
        <v>87</v>
      </c>
      <c r="N11" s="17" t="s">
        <v>88</v>
      </c>
      <c r="O11" s="15" t="s">
        <v>89</v>
      </c>
      <c r="P11" s="17" t="s">
        <v>90</v>
      </c>
      <c r="Q11" s="16" t="s">
        <v>18</v>
      </c>
      <c r="R11" s="13" t="s">
        <v>91</v>
      </c>
    </row>
    <row r="12" ht="42.0" customHeight="1">
      <c r="B12" s="7"/>
      <c r="C12" s="18" t="s">
        <v>26</v>
      </c>
      <c r="D12" s="8" t="s">
        <v>10</v>
      </c>
      <c r="E12" s="17" t="s">
        <v>92</v>
      </c>
      <c r="F12" s="15" t="s">
        <v>93</v>
      </c>
      <c r="G12" s="17" t="s">
        <v>94</v>
      </c>
      <c r="H12" s="15" t="s">
        <v>95</v>
      </c>
      <c r="I12" s="17" t="s">
        <v>96</v>
      </c>
      <c r="J12" s="29" t="s">
        <v>18</v>
      </c>
      <c r="K12" s="17" t="s">
        <v>97</v>
      </c>
      <c r="L12" s="15" t="s">
        <v>98</v>
      </c>
      <c r="M12" s="17" t="s">
        <v>99</v>
      </c>
      <c r="N12" s="15" t="s">
        <v>100</v>
      </c>
      <c r="O12" s="17" t="s">
        <v>101</v>
      </c>
      <c r="P12" s="15" t="s">
        <v>102</v>
      </c>
      <c r="Q12" s="16" t="s">
        <v>18</v>
      </c>
      <c r="R12" s="17" t="s">
        <v>103</v>
      </c>
    </row>
    <row r="13" ht="42.0" customHeight="1">
      <c r="B13" s="28"/>
      <c r="C13" s="18" t="s">
        <v>39</v>
      </c>
      <c r="D13" s="8" t="s">
        <v>10</v>
      </c>
      <c r="E13" s="30" t="s">
        <v>104</v>
      </c>
      <c r="F13" s="31" t="s">
        <v>105</v>
      </c>
      <c r="G13" s="30" t="s">
        <v>106</v>
      </c>
      <c r="H13" s="31" t="s">
        <v>107</v>
      </c>
      <c r="I13" s="30" t="s">
        <v>108</v>
      </c>
      <c r="J13" s="32" t="s">
        <v>18</v>
      </c>
      <c r="K13" s="30" t="s">
        <v>109</v>
      </c>
      <c r="L13" s="31" t="s">
        <v>110</v>
      </c>
      <c r="M13" s="31" t="s">
        <v>111</v>
      </c>
      <c r="N13" s="31" t="s">
        <v>112</v>
      </c>
      <c r="O13" s="31" t="s">
        <v>113</v>
      </c>
      <c r="P13" s="31" t="s">
        <v>114</v>
      </c>
      <c r="Q13" s="16" t="s">
        <v>18</v>
      </c>
      <c r="R13" s="30" t="s">
        <v>41</v>
      </c>
    </row>
    <row r="14" ht="42.0" customHeight="1">
      <c r="B14" s="33" t="s">
        <v>115</v>
      </c>
      <c r="C14" s="20" t="s">
        <v>12</v>
      </c>
      <c r="D14" s="8" t="s">
        <v>10</v>
      </c>
      <c r="E14" s="21" t="s">
        <v>116</v>
      </c>
      <c r="F14" s="22" t="s">
        <v>117</v>
      </c>
      <c r="G14" s="21" t="s">
        <v>118</v>
      </c>
      <c r="H14" s="22" t="s">
        <v>119</v>
      </c>
      <c r="I14" s="23" t="s">
        <v>120</v>
      </c>
      <c r="J14" s="24" t="s">
        <v>18</v>
      </c>
      <c r="K14" s="21" t="s">
        <v>121</v>
      </c>
      <c r="L14" s="25" t="s">
        <v>122</v>
      </c>
      <c r="M14" s="23" t="s">
        <v>123</v>
      </c>
      <c r="N14" s="25" t="s">
        <v>118</v>
      </c>
      <c r="O14" s="23" t="s">
        <v>124</v>
      </c>
      <c r="P14" s="25" t="s">
        <v>125</v>
      </c>
      <c r="Q14" s="24" t="s">
        <v>18</v>
      </c>
      <c r="R14" s="21" t="s">
        <v>126</v>
      </c>
    </row>
    <row r="15" ht="42.0" customHeight="1">
      <c r="B15" s="7"/>
      <c r="C15" s="26" t="s">
        <v>26</v>
      </c>
      <c r="D15" s="8" t="s">
        <v>10</v>
      </c>
      <c r="E15" s="25" t="s">
        <v>127</v>
      </c>
      <c r="F15" s="23" t="s">
        <v>128</v>
      </c>
      <c r="G15" s="25" t="s">
        <v>129</v>
      </c>
      <c r="H15" s="23" t="s">
        <v>130</v>
      </c>
      <c r="I15" s="25" t="s">
        <v>131</v>
      </c>
      <c r="J15" s="27" t="s">
        <v>18</v>
      </c>
      <c r="K15" s="25" t="s">
        <v>132</v>
      </c>
      <c r="L15" s="23" t="s">
        <v>133</v>
      </c>
      <c r="M15" s="25" t="s">
        <v>134</v>
      </c>
      <c r="N15" s="23" t="s">
        <v>135</v>
      </c>
      <c r="O15" s="25" t="s">
        <v>136</v>
      </c>
      <c r="P15" s="23" t="s">
        <v>137</v>
      </c>
      <c r="Q15" s="24" t="s">
        <v>18</v>
      </c>
      <c r="R15" s="25" t="s">
        <v>138</v>
      </c>
    </row>
    <row r="16" ht="42.0" customHeight="1">
      <c r="B16" s="7"/>
      <c r="C16" s="26" t="s">
        <v>39</v>
      </c>
      <c r="D16" s="8" t="s">
        <v>10</v>
      </c>
      <c r="E16" s="34" t="s">
        <v>139</v>
      </c>
      <c r="F16" s="35" t="s">
        <v>140</v>
      </c>
      <c r="G16" s="34" t="s">
        <v>141</v>
      </c>
      <c r="H16" s="35" t="s">
        <v>142</v>
      </c>
      <c r="I16" s="34" t="s">
        <v>143</v>
      </c>
      <c r="J16" s="36" t="s">
        <v>18</v>
      </c>
      <c r="K16" s="34" t="s">
        <v>144</v>
      </c>
      <c r="L16" s="35" t="s">
        <v>145</v>
      </c>
      <c r="M16" s="34" t="s">
        <v>146</v>
      </c>
      <c r="N16" s="34" t="s">
        <v>147</v>
      </c>
      <c r="O16" s="34" t="s">
        <v>148</v>
      </c>
      <c r="P16" s="34" t="s">
        <v>149</v>
      </c>
      <c r="Q16" s="24" t="s">
        <v>18</v>
      </c>
      <c r="R16" s="34" t="s">
        <v>41</v>
      </c>
    </row>
    <row r="17" ht="15.0" customHeight="1">
      <c r="B17" s="37"/>
      <c r="C17" s="38"/>
      <c r="D17" s="38"/>
      <c r="E17" s="37"/>
      <c r="F17" s="39"/>
      <c r="G17" s="37"/>
      <c r="H17" s="3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B3:B4"/>
    <mergeCell ref="C3:C4"/>
    <mergeCell ref="B5:B7"/>
    <mergeCell ref="B8:B10"/>
    <mergeCell ref="B11:B13"/>
    <mergeCell ref="B14:B16"/>
  </mergeCells>
  <conditionalFormatting sqref="B14 B17">
    <cfRule type="containsText" dxfId="0" priority="1" operator="containsText" text="Update">
      <formula>NOT(ISERROR(SEARCH(("Update"),(B14))))</formula>
    </cfRule>
  </conditionalFormatting>
  <conditionalFormatting sqref="B14 B17">
    <cfRule type="containsText" dxfId="1" priority="2" operator="containsText" text="Task">
      <formula>NOT(ISERROR(SEARCH(("Task"),(B14))))</formula>
    </cfRule>
  </conditionalFormatting>
  <conditionalFormatting sqref="B14 B17">
    <cfRule type="containsText" dxfId="2" priority="3" operator="containsText" text="Content">
      <formula>NOT(ISERROR(SEARCH(("Content"),(B14))))</formula>
    </cfRule>
  </conditionalFormatting>
  <conditionalFormatting sqref="B14 B17">
    <cfRule type="containsText" dxfId="3" priority="4" operator="containsText" text="Feature">
      <formula>NOT(ISERROR(SEARCH(("Feature"),(B14))))</formula>
    </cfRule>
  </conditionalFormatting>
  <conditionalFormatting sqref="B14 B17">
    <cfRule type="containsText" dxfId="4" priority="5" operator="containsText" text="Research">
      <formula>NOT(ISERROR(SEARCH(("Research"),(B14))))</formula>
    </cfRule>
  </conditionalFormatting>
  <conditionalFormatting sqref="E17">
    <cfRule type="containsText" dxfId="5" priority="6" operator="containsText" text="Low">
      <formula>NOT(ISERROR(SEARCH(("Low"),(E17))))</formula>
    </cfRule>
  </conditionalFormatting>
  <conditionalFormatting sqref="E17">
    <cfRule type="containsText" dxfId="6" priority="7" operator="containsText" text="Medium">
      <formula>NOT(ISERROR(SEARCH(("Medium"),(E17))))</formula>
    </cfRule>
  </conditionalFormatting>
  <conditionalFormatting sqref="E17">
    <cfRule type="containsText" dxfId="7" priority="8" operator="containsText" text="High">
      <formula>NOT(ISERROR(SEARCH(("High"),(E17))))</formula>
    </cfRule>
  </conditionalFormatting>
  <conditionalFormatting sqref="G17">
    <cfRule type="containsText" dxfId="8" priority="9" operator="containsText" text="Testing">
      <formula>NOT(ISERROR(SEARCH(("Testing"),(G17))))</formula>
    </cfRule>
  </conditionalFormatting>
  <conditionalFormatting sqref="G17">
    <cfRule type="containsText" dxfId="9" priority="10" operator="containsText" text="On Hold">
      <formula>NOT(ISERROR(SEARCH(("On Hold"),(G17))))</formula>
    </cfRule>
  </conditionalFormatting>
  <conditionalFormatting sqref="G17">
    <cfRule type="containsText" dxfId="10" priority="11" operator="containsText" text="Complete">
      <formula>NOT(ISERROR(SEARCH(("Complete"),(G17))))</formula>
    </cfRule>
  </conditionalFormatting>
  <conditionalFormatting sqref="G17">
    <cfRule type="containsText" dxfId="11" priority="12" operator="containsText" text="Ready to Start">
      <formula>NOT(ISERROR(SEARCH(("Ready to Start"),(G17))))</formula>
    </cfRule>
  </conditionalFormatting>
  <conditionalFormatting sqref="G17">
    <cfRule type="containsText" dxfId="12" priority="13" operator="containsText" text="In Progress">
      <formula>NOT(ISERROR(SEARCH(("In Progress"),(G17))))</formula>
    </cfRule>
  </conditionalFormatting>
  <dataValidations>
    <dataValidation type="list" allowBlank="1" showErrorMessage="1" sqref="E17 G1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