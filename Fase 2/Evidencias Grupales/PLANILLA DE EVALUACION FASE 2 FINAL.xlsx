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6771DDC4-005D-4815-8F6B-6CB81C200378}"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F13" i="1"/>
  <c r="G13" i="1" s="1"/>
  <c r="H13" i="1"/>
  <c r="I13" i="1" s="1"/>
  <c r="J13" i="1"/>
  <c r="K13" i="1" s="1"/>
  <c r="B14" i="1"/>
  <c r="B15" i="1"/>
  <c r="B16" i="1"/>
  <c r="B17" i="1"/>
  <c r="B18" i="1"/>
  <c r="B19" i="1"/>
  <c r="B20" i="1"/>
  <c r="B13" i="1"/>
  <c r="D14" i="1" l="1"/>
  <c r="D15" i="1"/>
  <c r="D16" i="1"/>
  <c r="D17" i="1"/>
  <c r="D18" i="1"/>
  <c r="D19" i="1"/>
  <c r="F20" i="1"/>
  <c r="G20" i="1" s="1"/>
  <c r="F17" i="1" l="1"/>
  <c r="G17" i="1" s="1"/>
  <c r="H17" i="1"/>
  <c r="I17" i="1" s="1"/>
  <c r="J17" i="1"/>
  <c r="K17" i="1" s="1"/>
  <c r="J20" i="1"/>
  <c r="K20" i="1" s="1"/>
  <c r="H20" i="1"/>
  <c r="I20" i="1" s="1"/>
  <c r="D20" i="1"/>
  <c r="J19" i="1"/>
  <c r="K19" i="1" s="1"/>
  <c r="H19" i="1"/>
  <c r="I19" i="1" s="1"/>
  <c r="F19" i="1"/>
  <c r="G19" i="1" s="1"/>
  <c r="J18" i="1"/>
  <c r="K18" i="1" s="1"/>
  <c r="H18" i="1"/>
  <c r="I18" i="1" s="1"/>
  <c r="F18" i="1"/>
  <c r="G18" i="1" s="1"/>
  <c r="J16" i="1"/>
  <c r="K16" i="1" s="1"/>
  <c r="H16" i="1"/>
  <c r="I16" i="1" s="1"/>
  <c r="F16" i="1"/>
  <c r="G16" i="1" s="1"/>
  <c r="J15" i="1"/>
  <c r="K15" i="1" s="1"/>
  <c r="H15" i="1"/>
  <c r="I15" i="1" s="1"/>
  <c r="J14" i="1"/>
  <c r="H14" i="1"/>
  <c r="I14" i="1" s="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<sst xmlns="http://schemas.openxmlformats.org/spreadsheetml/2006/main" count="86" uniqueCount="68">
  <si>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</si>
  <si>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</si>
  <si>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</si>
  <si>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</si>
  <si>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</si>
  <si>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</si>
  <si>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</si>
  <si>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</si>
  <si>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</si>
  <si>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</si>
  <si>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</si>
  <si>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</si>
  <si>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</si>
  <si>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</si>
  <si>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</si>
  <si>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</si>
  <si>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</si>
  <si>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</si>
  <si>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</si>
  <si>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</si>
  <si>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</si>
  <si>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</si>
  <si>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</si>
  <si>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</si>
  <si>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</si>
  <si>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</si>
  <si>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</si>
  <si>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</si>
  <si>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</si>
  <si>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</si>
  <si>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</si>
  <si>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</si>
  <si>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</si>
  <si>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</si>
  <si>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</si>
  <si>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</si>
  <si>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</si>
  <si>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</si>
  <si>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</si>
  <si>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</si>
  <si>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</si>
  <si>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</si>
  <si>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</si>
  <si>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</si>
  <si>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</si>
  <si>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</si>
  <si>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</si>
  <si>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</si>
  <si>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</si>
  <si>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</si>
  <si>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</si>
  <si>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</si>
  <si>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</si>
  <si>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</si>
  <si>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</si>
  <si>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</si>
  <si>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</si>
  <si>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</si>
  <si>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</si>
  <si>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</si>
  <si>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</si>
  <si>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</si>
  <si>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</si>
  <si>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Sebastián Medina</t>
  </si>
  <si>
    <t>Jehison Arancibia</t>
  </si>
  <si>
    <t>Hector Domingo</t>
  </si>
  <si>
    <t>Luis Troncoso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</si>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</sst>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15" sqref="C15"/>
    </sheetView>
  </sheetViews>
  <sheetFormatPr baseColWidth="10" defaultColWidth="14.42578125" defaultRowHeight="15" customHeight="1" outlineLevelRow="1"/>
  <cols>
    <col min="1" max="1" width="10.5703125" customWidth="1"/>
    <col min="2" max="2" width="66.85546875" customWidth="1"/>
    <col min="3" max="3" width="22" bestFit="1" customWidth="1"/>
    <col min="4" max="4" width="11.42578125" customWidth="1"/>
    <col min="5" max="7" width="11.5703125" customWidth="1"/>
    <col min="8" max="8" width="7.5703125" customWidth="1"/>
    <col min="9" max="9" width="11.5703125" customWidth="1"/>
    <col min="10" max="10" width="7.5703125" customWidth="1"/>
    <col min="11" max="11" width="11.5703125" customWidth="1"/>
    <col min="12" max="24" width="10.5703125" customWidth="1"/>
  </cols>
  <sheetData>
    <row r="2" spans="1:11">
      <c r="C2" s="2">
        <v>1</v>
      </c>
    </row>
    <row r="3" spans="1:11">
      <c r="B3" s="3" t="s">
        <v>2</v>
      </c>
      <c r="C3" s="33" t="s">
        <v>9</v>
      </c>
    </row>
    <row r="4" spans="1:11">
      <c r="A4" s="4">
        <v>1</v>
      </c>
      <c r="B4" s="25" t="s">
        <v>63</v>
      </c>
      <c r="C4" s="5">
        <f>EVALUACION2!$C$22</f>
        <v>6.6</v>
      </c>
      <c r="G4" s="1"/>
    </row>
    <row r="5" spans="1:11">
      <c r="A5" s="4">
        <v>2</v>
      </c>
      <c r="B5" s="25" t="s">
        <v>64</v>
      </c>
      <c r="C5" s="5">
        <f>EVALUACION2!$C$22</f>
        <v>6.6</v>
      </c>
      <c r="G5" s="1"/>
    </row>
    <row r="6" spans="1:11">
      <c r="A6" s="4">
        <v>3</v>
      </c>
      <c r="B6" s="25" t="s">
        <v>65</v>
      </c>
      <c r="C6" s="5">
        <f>EVALUACION2!$C$22</f>
        <v>6.6</v>
      </c>
      <c r="G6" s="1"/>
    </row>
    <row r="7" spans="1:11" ht="15" customHeight="1">
      <c r="A7" s="4">
        <v>4</v>
      </c>
      <c r="B7" s="25" t="s">
        <v>66</v>
      </c>
      <c r="C7" s="5">
        <f>EVALUACION2!$C$22</f>
        <v>6.6</v>
      </c>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c r="F15" s="15" t="s">
        <v>67</v>
      </c>
      <c r="G15" s="15">
        <v>20</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v>15</v>
      </c>
      <c r="F19" s="15" t="str">
        <f>IF($C19=L,"X","")</f>
        <v/>
      </c>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95</v>
      </c>
      <c r="D21" s="16"/>
      <c r="E21" s="16">
        <f>SUM(E13:E20)</f>
        <v>75</v>
      </c>
      <c r="F21" s="16"/>
      <c r="G21" s="16">
        <f>SUM(G13:G20)</f>
        <v>20</v>
      </c>
      <c r="H21" s="16"/>
      <c r="I21" s="16">
        <f>SUM(I13:I20)</f>
        <v>0</v>
      </c>
      <c r="J21" s="16"/>
      <c r="K21" s="16">
        <f>SUM(K13:K20)</f>
        <v>0</v>
      </c>
    </row>
    <row r="22" spans="1:11" ht="15.75" customHeight="1" outlineLevel="1">
      <c r="A22" s="43"/>
      <c r="B22" s="30" t="s">
        <v>13</v>
      </c>
      <c r="C22" s="17">
        <f>VLOOKUP(C21,ESCALA_IEP!A2:B202,2,FALSE)</f>
        <v>6.6</v>
      </c>
    </row>
    <row r="23" spans="1:11" ht="15.75" customHeight="1">
      <c r="D23" t="s">
        <v>41</v>
      </c>
    </row>
    <row r="24" spans="1:11" ht="48" customHeight="1">
      <c r="B24" s="34"/>
    </row>
    <row r="25" spans="1:11" ht="15.75" customHeight="1">
      <c r="B25" s="18"/>
      <c r="C25" s="19"/>
    </row>
    <row r="26" spans="1:11" ht="31.3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F11" sqref="F11"/>
    </sheetView>
  </sheetViews>
  <sheetFormatPr baseColWidth="10" defaultRowHeight="15"/>
  <cols>
    <col min="1" max="6" width="38.855468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570312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570312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570312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570312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OSNELLYS EUGENIA ANDRADE DIAZ</cp:lastModifiedBy>
  <dcterms:created xsi:type="dcterms:W3CDTF">2023-08-07T04:08:01Z</dcterms:created>
  <dcterms:modified xsi:type="dcterms:W3CDTF">2025-11-25T11:38:24Z</dcterms:modified>
</cp:coreProperties>
</file>